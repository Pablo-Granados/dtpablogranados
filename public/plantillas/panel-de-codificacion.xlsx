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usarla" state="visible" r:id="rId4"/>
    <sheet sheetId="2" name="Panel" state="visible" r:id="rId5"/>
    <sheet sheetId="3" name="Listas" state="hidden" r:id="rId6"/>
    <sheet sheetId="4" name="Registro" state="visible" r:id="rId7"/>
    <sheet sheetId="5" name="Resumen" state="visible" r:id="rId8"/>
  </sheets>
  <calcPr calcId="171027"/>
</workbook>
</file>

<file path=xl/sharedStrings.xml><?xml version="1.0" encoding="utf-8"?>
<sst xmlns="http://schemas.openxmlformats.org/spreadsheetml/2006/main" count="161" uniqueCount="84">
  <si>
    <t>PANEL DE CODIFICACIÓN</t>
  </si>
  <si>
    <t>Capturar lo que importa, no todo · Pablo Granados</t>
  </si>
  <si>
    <t>Codificar todo es la forma más rápida de no analizar nada. Un panel sirve cuando cada botón responde una pregunta que ya tenías antes de abrir el video.</t>
  </si>
  <si>
    <t>Este panel parte del mapa de observación, está pensado para futsal y se adapta a fútbol cambiando zonas y estructuras. Sirve en Nacsport, LongoMatch o en una hoja de cálculo.</t>
  </si>
  <si>
    <t>CÓMO USARLA</t>
  </si>
  <si>
    <t>1. En la hoja "Panel" está el diseño: categorías, descriptores y para qué sirve cada una. Copialo a tu software o usalo tal cual.</t>
  </si>
  <si>
    <t>2. En la hoja "Registro" anotás cada jugada: minuto, categoría y descriptores. Los menús desplegables evitan escribir distinto lo mismo.</t>
  </si>
  <si>
    <t>3. La hoja "Resumen" cuenta sola cuántas jugadas hay de cada categoría y cuántas terminaron en cada resultado.</t>
  </si>
  <si>
    <t>Para otro partido, copiá la hoja "Registro" y renombrala con el rival.</t>
  </si>
  <si>
    <t>Categoría (botón)</t>
  </si>
  <si>
    <t>Responde</t>
  </si>
  <si>
    <t>Descriptor</t>
  </si>
  <si>
    <t>Opciones</t>
  </si>
  <si>
    <t>Ataque organizado</t>
  </si>
  <si>
    <t>¿Cómo y por dónde progresa el equipo, y cómo termina la posesión?</t>
  </si>
  <si>
    <t>Estructura</t>
  </si>
  <si>
    <t>3-1 · 2-2 · 4-0 · Otra</t>
  </si>
  <si>
    <t/>
  </si>
  <si>
    <t>Zona de inicio</t>
  </si>
  <si>
    <t>Propia · Media · Rival</t>
  </si>
  <si>
    <t>Resultado</t>
  </si>
  <si>
    <t>Remate · Pérdida · Falta recibida · Saque</t>
  </si>
  <si>
    <t>Defensa organizada</t>
  </si>
  <si>
    <t>¿Dónde se presiona y qué consigue la presión?</t>
  </si>
  <si>
    <t>Tipo</t>
  </si>
  <si>
    <t>Presión alta · Media · Baja · Individual</t>
  </si>
  <si>
    <t>Recuperación · Falta · Remate recibido · Gol recibido</t>
  </si>
  <si>
    <t>Transición ofensiva</t>
  </si>
  <si>
    <t>¿Ataca rápido o asegura la posesión, y le sirve?</t>
  </si>
  <si>
    <t>Zona de recuperación</t>
  </si>
  <si>
    <t>Decisión</t>
  </si>
  <si>
    <t>Directo · Pausa · Pérdida inmediata</t>
  </si>
  <si>
    <t>Remate · Falta · Pérdida</t>
  </si>
  <si>
    <t>Transición defensiva</t>
  </si>
  <si>
    <t>¿Reacciona o se desordena? ¿Dónde pierde la pelota?</t>
  </si>
  <si>
    <t>Zona de pérdida</t>
  </si>
  <si>
    <t>Reacción</t>
  </si>
  <si>
    <t>Presiona · Se repliega · Falta táctica · Tarde</t>
  </si>
  <si>
    <t>Recupera · Remate recibido · Gol recibido · Se ordena</t>
  </si>
  <si>
    <t>Pelota parada</t>
  </si>
  <si>
    <t>¿Qué rutinas se repiten y qué producen?</t>
  </si>
  <si>
    <t>Saque de banda · Córner · Tiro libre · Saque de meta · Doble penal</t>
  </si>
  <si>
    <t>Lado</t>
  </si>
  <si>
    <t>A favor · En contra</t>
  </si>
  <si>
    <t>Remate · Gol · Pérdida · Sin continuidad</t>
  </si>
  <si>
    <t>Portero-jugador</t>
  </si>
  <si>
    <t>¿Cuándo se activa, qué produce y qué riesgo cuesta?</t>
  </si>
  <si>
    <t>Propio · Rival</t>
  </si>
  <si>
    <t>3-2 · 4-1 · Otra</t>
  </si>
  <si>
    <t>Remate · Gol a favor · Gol en contra (arco vacío) · Pérdida</t>
  </si>
  <si>
    <t>Remate</t>
  </si>
  <si>
    <t>¿Desde dónde y cómo se genera cada remate?</t>
  </si>
  <si>
    <t>Zona</t>
  </si>
  <si>
    <t>Central cercana · Lateral · Lejana</t>
  </si>
  <si>
    <t>Origen</t>
  </si>
  <si>
    <t>1v1 · Pared · Segunda jugada · Pelota parada · Transición</t>
  </si>
  <si>
    <t>Gol · Atajado · Afuera · Bloqueado · Poste</t>
  </si>
  <si>
    <t>Falta</t>
  </si>
  <si>
    <t>¿Dónde y cuándo se faltan? ¿Se llega a las acumuladas con margen?</t>
  </si>
  <si>
    <t>Cometida · Recibida</t>
  </si>
  <si>
    <t>Acumulada</t>
  </si>
  <si>
    <t>1 · 2 · 3 · 4 · 5 o más</t>
  </si>
  <si>
    <t>Categoría</t>
  </si>
  <si>
    <t>Tiempo</t>
  </si>
  <si>
    <t>1T</t>
  </si>
  <si>
    <t>Propia</t>
  </si>
  <si>
    <t>A favor</t>
  </si>
  <si>
    <t>2T</t>
  </si>
  <si>
    <t>Media</t>
  </si>
  <si>
    <t>Gol</t>
  </si>
  <si>
    <t>En contra</t>
  </si>
  <si>
    <t>Prórroga</t>
  </si>
  <si>
    <t>Rival</t>
  </si>
  <si>
    <t>Pérdida</t>
  </si>
  <si>
    <t>Recuperación</t>
  </si>
  <si>
    <t>Remate recibido</t>
  </si>
  <si>
    <t>Gol recibido</t>
  </si>
  <si>
    <t>Sin continuidad</t>
  </si>
  <si>
    <t>Min</t>
  </si>
  <si>
    <t>Descriptor (estructura, tipo, origen)</t>
  </si>
  <si>
    <t>Jugadores</t>
  </si>
  <si>
    <t>Nota / clip</t>
  </si>
  <si>
    <t>Jugadas</t>
  </si>
  <si>
    <t>Filtrá la hoja "Registro" por resultado (por ejemplo, "Gol recibido") para armar los clips del informe.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</si>
</sst>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20"/>
      <name val="Calibri"/>
    </font>
    <font>
      <color rgb="FF5D646D"/>
      <sz val="11"/>
    </font>
    <font>
      <b/>
      <color rgb="FF5D646D"/>
      <sz val="10"/>
    </font>
    <font>
      <i/>
      <color rgb="FF5D646D"/>
    </font>
    <font>
      <b/>
      <color rgb="FFEDEBE6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B0D10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D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34" customHeight="1" spans="2:2" x14ac:dyDescent="0.25">
      <c r="B5" s="3" t="s">
        <v>2</v>
      </c>
    </row>
    <row r="6" ht="34" customHeight="1" spans="2:2" x14ac:dyDescent="0.25">
      <c r="B6" s="3" t="s">
        <v>3</v>
      </c>
    </row>
    <row r="8" spans="2:2" x14ac:dyDescent="0.25">
      <c r="B8" s="4" t="s">
        <v>4</v>
      </c>
    </row>
    <row r="9" ht="32" customHeight="1" spans="2:2" x14ac:dyDescent="0.25">
      <c r="B9" s="3" t="s">
        <v>5</v>
      </c>
    </row>
    <row r="10" ht="32" customHeight="1" spans="2:2" x14ac:dyDescent="0.25">
      <c r="B10" s="3" t="s">
        <v>6</v>
      </c>
    </row>
    <row r="11" ht="32" customHeight="1" spans="2:2" x14ac:dyDescent="0.25">
      <c r="B11" s="3" t="s">
        <v>7</v>
      </c>
    </row>
    <row r="13" ht="32" customHeight="1" spans="2:2" x14ac:dyDescent="0.25">
      <c r="B13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6" customWidth="1"/>
    <col min="3" max="3" width="22" customWidth="1"/>
    <col min="4" max="4" width="60" customWidth="1"/>
  </cols>
  <sheetData>
    <row r="1" ht="28" customHeight="1" spans="1:4" x14ac:dyDescent="0.25">
      <c r="A1" s="6" t="s">
        <v>9</v>
      </c>
      <c r="B1" s="6" t="s">
        <v>10</v>
      </c>
      <c r="C1" s="6" t="s">
        <v>11</v>
      </c>
      <c r="D1" s="6" t="s">
        <v>12</v>
      </c>
    </row>
    <row r="2" ht="34" customHeight="1" spans="1:4" s="3" customFormat="1" x14ac:dyDescent="0.25">
      <c r="A2" s="7" t="s">
        <v>13</v>
      </c>
      <c r="B2" s="8" t="s">
        <v>14</v>
      </c>
      <c r="C2" s="8" t="s">
        <v>15</v>
      </c>
      <c r="D2" s="8" t="s">
        <v>16</v>
      </c>
    </row>
    <row r="3" ht="20" customHeight="1" spans="1:4" s="3" customFormat="1" x14ac:dyDescent="0.25">
      <c r="A3" s="7" t="s">
        <v>17</v>
      </c>
      <c r="B3" s="8" t="s">
        <v>17</v>
      </c>
      <c r="C3" s="8" t="s">
        <v>18</v>
      </c>
      <c r="D3" s="8" t="s">
        <v>19</v>
      </c>
    </row>
    <row r="4" ht="20" customHeight="1" spans="1:4" s="3" customFormat="1" x14ac:dyDescent="0.25">
      <c r="A4" s="7" t="s">
        <v>17</v>
      </c>
      <c r="B4" s="8" t="s">
        <v>17</v>
      </c>
      <c r="C4" s="8" t="s">
        <v>20</v>
      </c>
      <c r="D4" s="8" t="s">
        <v>21</v>
      </c>
    </row>
    <row r="5" ht="34" customHeight="1" spans="1:4" s="3" customFormat="1" x14ac:dyDescent="0.25">
      <c r="A5" s="9" t="s">
        <v>22</v>
      </c>
      <c r="B5" s="10" t="s">
        <v>23</v>
      </c>
      <c r="C5" s="10" t="s">
        <v>24</v>
      </c>
      <c r="D5" s="10" t="s">
        <v>25</v>
      </c>
    </row>
    <row r="6" ht="20" customHeight="1" spans="1:4" s="3" customFormat="1" x14ac:dyDescent="0.25">
      <c r="A6" s="9" t="s">
        <v>17</v>
      </c>
      <c r="B6" s="10" t="s">
        <v>17</v>
      </c>
      <c r="C6" s="10" t="s">
        <v>20</v>
      </c>
      <c r="D6" s="10" t="s">
        <v>26</v>
      </c>
    </row>
    <row r="7" ht="34" customHeight="1" spans="1:4" s="3" customFormat="1" x14ac:dyDescent="0.25">
      <c r="A7" s="7" t="s">
        <v>27</v>
      </c>
      <c r="B7" s="8" t="s">
        <v>28</v>
      </c>
      <c r="C7" s="8" t="s">
        <v>29</v>
      </c>
      <c r="D7" s="8" t="s">
        <v>19</v>
      </c>
    </row>
    <row r="8" ht="20" customHeight="1" spans="1:4" s="3" customFormat="1" x14ac:dyDescent="0.25">
      <c r="A8" s="7" t="s">
        <v>17</v>
      </c>
      <c r="B8" s="8" t="s">
        <v>17</v>
      </c>
      <c r="C8" s="8" t="s">
        <v>30</v>
      </c>
      <c r="D8" s="8" t="s">
        <v>31</v>
      </c>
    </row>
    <row r="9" ht="20" customHeight="1" spans="1:4" s="3" customFormat="1" x14ac:dyDescent="0.25">
      <c r="A9" s="7" t="s">
        <v>17</v>
      </c>
      <c r="B9" s="8" t="s">
        <v>17</v>
      </c>
      <c r="C9" s="8" t="s">
        <v>20</v>
      </c>
      <c r="D9" s="8" t="s">
        <v>32</v>
      </c>
    </row>
    <row r="10" ht="34" customHeight="1" spans="1:4" s="3" customFormat="1" x14ac:dyDescent="0.25">
      <c r="A10" s="9" t="s">
        <v>33</v>
      </c>
      <c r="B10" s="10" t="s">
        <v>34</v>
      </c>
      <c r="C10" s="10" t="s">
        <v>35</v>
      </c>
      <c r="D10" s="10" t="s">
        <v>19</v>
      </c>
    </row>
    <row r="11" ht="20" customHeight="1" spans="1:4" s="3" customFormat="1" x14ac:dyDescent="0.25">
      <c r="A11" s="9" t="s">
        <v>17</v>
      </c>
      <c r="B11" s="10" t="s">
        <v>17</v>
      </c>
      <c r="C11" s="10" t="s">
        <v>36</v>
      </c>
      <c r="D11" s="10" t="s">
        <v>37</v>
      </c>
    </row>
    <row r="12" ht="20" customHeight="1" spans="1:4" s="3" customFormat="1" x14ac:dyDescent="0.25">
      <c r="A12" s="9" t="s">
        <v>17</v>
      </c>
      <c r="B12" s="10" t="s">
        <v>17</v>
      </c>
      <c r="C12" s="10" t="s">
        <v>20</v>
      </c>
      <c r="D12" s="10" t="s">
        <v>38</v>
      </c>
    </row>
    <row r="13" ht="34" customHeight="1" spans="1:4" s="3" customFormat="1" x14ac:dyDescent="0.25">
      <c r="A13" s="7" t="s">
        <v>39</v>
      </c>
      <c r="B13" s="8" t="s">
        <v>40</v>
      </c>
      <c r="C13" s="8" t="s">
        <v>24</v>
      </c>
      <c r="D13" s="8" t="s">
        <v>41</v>
      </c>
    </row>
    <row r="14" ht="20" customHeight="1" spans="1:4" s="3" customFormat="1" x14ac:dyDescent="0.25">
      <c r="A14" s="7" t="s">
        <v>17</v>
      </c>
      <c r="B14" s="8" t="s">
        <v>17</v>
      </c>
      <c r="C14" s="8" t="s">
        <v>42</v>
      </c>
      <c r="D14" s="8" t="s">
        <v>43</v>
      </c>
    </row>
    <row r="15" ht="20" customHeight="1" spans="1:4" s="3" customFormat="1" x14ac:dyDescent="0.25">
      <c r="A15" s="7" t="s">
        <v>17</v>
      </c>
      <c r="B15" s="8" t="s">
        <v>17</v>
      </c>
      <c r="C15" s="8" t="s">
        <v>20</v>
      </c>
      <c r="D15" s="8" t="s">
        <v>44</v>
      </c>
    </row>
    <row r="16" ht="34" customHeight="1" spans="1:4" s="3" customFormat="1" x14ac:dyDescent="0.25">
      <c r="A16" s="9" t="s">
        <v>45</v>
      </c>
      <c r="B16" s="10" t="s">
        <v>46</v>
      </c>
      <c r="C16" s="10" t="s">
        <v>42</v>
      </c>
      <c r="D16" s="10" t="s">
        <v>47</v>
      </c>
    </row>
    <row r="17" ht="20" customHeight="1" spans="1:4" s="3" customFormat="1" x14ac:dyDescent="0.25">
      <c r="A17" s="9" t="s">
        <v>17</v>
      </c>
      <c r="B17" s="10" t="s">
        <v>17</v>
      </c>
      <c r="C17" s="10" t="s">
        <v>15</v>
      </c>
      <c r="D17" s="10" t="s">
        <v>48</v>
      </c>
    </row>
    <row r="18" ht="20" customHeight="1" spans="1:4" s="3" customFormat="1" x14ac:dyDescent="0.25">
      <c r="A18" s="9" t="s">
        <v>17</v>
      </c>
      <c r="B18" s="10" t="s">
        <v>17</v>
      </c>
      <c r="C18" s="10" t="s">
        <v>20</v>
      </c>
      <c r="D18" s="10" t="s">
        <v>49</v>
      </c>
    </row>
    <row r="19" ht="34" customHeight="1" spans="1:4" s="3" customFormat="1" x14ac:dyDescent="0.25">
      <c r="A19" s="7" t="s">
        <v>50</v>
      </c>
      <c r="B19" s="8" t="s">
        <v>51</v>
      </c>
      <c r="C19" s="8" t="s">
        <v>52</v>
      </c>
      <c r="D19" s="8" t="s">
        <v>53</v>
      </c>
    </row>
    <row r="20" ht="20" customHeight="1" spans="1:4" s="3" customFormat="1" x14ac:dyDescent="0.25">
      <c r="A20" s="7" t="s">
        <v>17</v>
      </c>
      <c r="B20" s="8" t="s">
        <v>17</v>
      </c>
      <c r="C20" s="8" t="s">
        <v>54</v>
      </c>
      <c r="D20" s="8" t="s">
        <v>55</v>
      </c>
    </row>
    <row r="21" ht="20" customHeight="1" spans="1:4" s="3" customFormat="1" x14ac:dyDescent="0.25">
      <c r="A21" s="7" t="s">
        <v>17</v>
      </c>
      <c r="B21" s="8" t="s">
        <v>17</v>
      </c>
      <c r="C21" s="8" t="s">
        <v>20</v>
      </c>
      <c r="D21" s="8" t="s">
        <v>56</v>
      </c>
    </row>
    <row r="22" ht="34" customHeight="1" spans="1:4" s="3" customFormat="1" x14ac:dyDescent="0.25">
      <c r="A22" s="9" t="s">
        <v>57</v>
      </c>
      <c r="B22" s="10" t="s">
        <v>58</v>
      </c>
      <c r="C22" s="10" t="s">
        <v>42</v>
      </c>
      <c r="D22" s="10" t="s">
        <v>59</v>
      </c>
    </row>
    <row r="23" ht="20" customHeight="1" spans="1:4" s="3" customFormat="1" x14ac:dyDescent="0.25">
      <c r="A23" s="9" t="s">
        <v>17</v>
      </c>
      <c r="B23" s="10" t="s">
        <v>17</v>
      </c>
      <c r="C23" s="10" t="s">
        <v>52</v>
      </c>
      <c r="D23" s="10" t="s">
        <v>19</v>
      </c>
    </row>
    <row r="24" ht="20" customHeight="1" spans="1:4" s="3" customFormat="1" x14ac:dyDescent="0.25">
      <c r="A24" s="9" t="s">
        <v>17</v>
      </c>
      <c r="B24" s="10" t="s">
        <v>17</v>
      </c>
      <c r="C24" s="10" t="s">
        <v>60</v>
      </c>
      <c r="D24" s="1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62</v>
      </c>
      <c r="B1" t="s">
        <v>63</v>
      </c>
      <c r="C1" t="s">
        <v>52</v>
      </c>
      <c r="D1" t="s">
        <v>20</v>
      </c>
      <c r="E1" t="s">
        <v>42</v>
      </c>
    </row>
    <row r="2" spans="1:5" x14ac:dyDescent="0.25">
      <c r="A2" t="s">
        <v>13</v>
      </c>
      <c r="B2" t="s">
        <v>64</v>
      </c>
      <c r="C2" t="s">
        <v>65</v>
      </c>
      <c r="D2" t="s">
        <v>50</v>
      </c>
      <c r="E2" t="s">
        <v>66</v>
      </c>
    </row>
    <row r="3" spans="1:5" x14ac:dyDescent="0.25">
      <c r="A3" t="s">
        <v>22</v>
      </c>
      <c r="B3" t="s">
        <v>67</v>
      </c>
      <c r="C3" t="s">
        <v>68</v>
      </c>
      <c r="D3" t="s">
        <v>69</v>
      </c>
      <c r="E3" t="s">
        <v>70</v>
      </c>
    </row>
    <row r="4" spans="1:4" x14ac:dyDescent="0.25">
      <c r="A4" t="s">
        <v>27</v>
      </c>
      <c r="B4" t="s">
        <v>71</v>
      </c>
      <c r="C4" t="s">
        <v>72</v>
      </c>
      <c r="D4" t="s">
        <v>73</v>
      </c>
    </row>
    <row r="5" spans="1:4" x14ac:dyDescent="0.25">
      <c r="A5" t="s">
        <v>33</v>
      </c>
      <c r="D5" t="s">
        <v>57</v>
      </c>
    </row>
    <row r="6" spans="1:4" x14ac:dyDescent="0.25">
      <c r="A6" t="s">
        <v>39</v>
      </c>
      <c r="D6" t="s">
        <v>74</v>
      </c>
    </row>
    <row r="7" spans="1:4" x14ac:dyDescent="0.25">
      <c r="A7" t="s">
        <v>45</v>
      </c>
      <c r="D7" t="s">
        <v>75</v>
      </c>
    </row>
    <row r="8" spans="1:4" x14ac:dyDescent="0.25">
      <c r="A8" t="s">
        <v>50</v>
      </c>
      <c r="D8" t="s">
        <v>76</v>
      </c>
    </row>
    <row r="9" spans="1:4" x14ac:dyDescent="0.25">
      <c r="A9" t="s">
        <v>57</v>
      </c>
      <c r="D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4" customWidth="1"/>
    <col min="4" max="5" width="12" customWidth="1"/>
    <col min="6" max="6" width="34" customWidth="1"/>
    <col min="7" max="8" width="20" customWidth="1"/>
    <col min="9" max="9" width="40" customWidth="1"/>
  </cols>
  <sheetData>
    <row r="1" ht="28" customHeight="1" spans="1:9" x14ac:dyDescent="0.25">
      <c r="A1" s="6" t="s">
        <v>78</v>
      </c>
      <c r="B1" s="6" t="s">
        <v>63</v>
      </c>
      <c r="C1" s="6" t="s">
        <v>62</v>
      </c>
      <c r="D1" s="6" t="s">
        <v>42</v>
      </c>
      <c r="E1" s="6" t="s">
        <v>52</v>
      </c>
      <c r="F1" s="6" t="s">
        <v>79</v>
      </c>
      <c r="G1" s="6" t="s">
        <v>20</v>
      </c>
      <c r="H1" s="6" t="s">
        <v>80</v>
      </c>
      <c r="I1" s="6" t="s">
        <v>81</v>
      </c>
    </row>
    <row r="2" spans="1:7" x14ac:dyDescent="0.25">
      <c r="A2" s="11"/>
    </row>
    <row r="3" spans="1:7" x14ac:dyDescent="0.25">
      <c r="A3" s="11"/>
    </row>
    <row r="4" spans="1:7" x14ac:dyDescent="0.25">
      <c r="A4" s="11"/>
    </row>
    <row r="5" spans="1:7" x14ac:dyDescent="0.25">
      <c r="A5" s="11"/>
    </row>
    <row r="6" spans="1:7" x14ac:dyDescent="0.25">
      <c r="A6" s="11"/>
    </row>
    <row r="7" spans="1:7" x14ac:dyDescent="0.25">
      <c r="A7" s="11"/>
    </row>
    <row r="8" spans="1:7" x14ac:dyDescent="0.25">
      <c r="A8" s="11"/>
    </row>
    <row r="9" spans="1:7" x14ac:dyDescent="0.25">
      <c r="A9" s="11"/>
    </row>
    <row r="10" spans="1:7" x14ac:dyDescent="0.25">
      <c r="A10" s="11"/>
    </row>
    <row r="11" spans="1:7" x14ac:dyDescent="0.25">
      <c r="A11" s="11"/>
    </row>
    <row r="12" spans="1:7" x14ac:dyDescent="0.25">
      <c r="A12" s="11"/>
    </row>
    <row r="13" spans="1:7" x14ac:dyDescent="0.25">
      <c r="A13" s="11"/>
    </row>
    <row r="14" spans="1:7" x14ac:dyDescent="0.25">
      <c r="A14" s="11"/>
    </row>
    <row r="15" spans="1:7" x14ac:dyDescent="0.25">
      <c r="A15" s="11"/>
    </row>
    <row r="16" spans="1:7" x14ac:dyDescent="0.25">
      <c r="A16" s="11"/>
    </row>
    <row r="17" spans="1:7" x14ac:dyDescent="0.25">
      <c r="A17" s="11"/>
    </row>
    <row r="18" spans="1:7" x14ac:dyDescent="0.25">
      <c r="A18" s="11"/>
    </row>
    <row r="19" spans="1:7" x14ac:dyDescent="0.25">
      <c r="A19" s="11"/>
    </row>
    <row r="20" spans="1:7" x14ac:dyDescent="0.25">
      <c r="A20" s="11"/>
    </row>
    <row r="21" spans="1:7" x14ac:dyDescent="0.25">
      <c r="A21" s="11"/>
    </row>
    <row r="22" spans="1:7" x14ac:dyDescent="0.25">
      <c r="A22" s="11"/>
    </row>
    <row r="23" spans="1:7" x14ac:dyDescent="0.25">
      <c r="A23" s="11"/>
    </row>
    <row r="24" spans="1:7" x14ac:dyDescent="0.25">
      <c r="A24" s="11"/>
    </row>
    <row r="25" spans="1:7" x14ac:dyDescent="0.25">
      <c r="A25" s="11"/>
    </row>
    <row r="26" spans="1:7" x14ac:dyDescent="0.25">
      <c r="A26" s="11"/>
    </row>
    <row r="27" spans="1:7" x14ac:dyDescent="0.25">
      <c r="A27" s="11"/>
    </row>
    <row r="28" spans="1:7" x14ac:dyDescent="0.25">
      <c r="A28" s="11"/>
    </row>
    <row r="29" spans="1:7" x14ac:dyDescent="0.25">
      <c r="A29" s="11"/>
    </row>
    <row r="30" spans="1:7" x14ac:dyDescent="0.25">
      <c r="A30" s="11"/>
    </row>
    <row r="31" spans="1:7" x14ac:dyDescent="0.25">
      <c r="A31" s="11"/>
    </row>
    <row r="32" spans="1:7" x14ac:dyDescent="0.25">
      <c r="A32" s="11"/>
    </row>
    <row r="33" spans="1:7" x14ac:dyDescent="0.25">
      <c r="A33" s="11"/>
    </row>
    <row r="34" spans="1:7" x14ac:dyDescent="0.25">
      <c r="A34" s="11"/>
    </row>
    <row r="35" spans="1:7" x14ac:dyDescent="0.25">
      <c r="A35" s="11"/>
    </row>
    <row r="36" spans="1:7" x14ac:dyDescent="0.25">
      <c r="A36" s="11"/>
    </row>
    <row r="37" spans="1:7" x14ac:dyDescent="0.25">
      <c r="A37" s="11"/>
    </row>
    <row r="38" spans="1:7" x14ac:dyDescent="0.25">
      <c r="A38" s="11"/>
    </row>
    <row r="39" spans="1:7" x14ac:dyDescent="0.25">
      <c r="A39" s="11"/>
    </row>
    <row r="40" spans="1:7" x14ac:dyDescent="0.25">
      <c r="A40" s="11"/>
    </row>
    <row r="41" spans="1:7" x14ac:dyDescent="0.25">
      <c r="A41" s="11"/>
    </row>
    <row r="42" spans="1:7" x14ac:dyDescent="0.25">
      <c r="A42" s="11"/>
    </row>
    <row r="43" spans="1:7" x14ac:dyDescent="0.25">
      <c r="A43" s="11"/>
    </row>
    <row r="44" spans="1:7" x14ac:dyDescent="0.25">
      <c r="A44" s="11"/>
    </row>
    <row r="45" spans="1:7" x14ac:dyDescent="0.25">
      <c r="A45" s="11"/>
    </row>
    <row r="46" spans="1:7" x14ac:dyDescent="0.25">
      <c r="A46" s="11"/>
    </row>
    <row r="47" spans="1:7" x14ac:dyDescent="0.25">
      <c r="A47" s="11"/>
    </row>
    <row r="48" spans="1:7" x14ac:dyDescent="0.25">
      <c r="A48" s="11"/>
    </row>
    <row r="49" spans="1:7" x14ac:dyDescent="0.25">
      <c r="A49" s="11"/>
    </row>
    <row r="50" spans="1:7" x14ac:dyDescent="0.25">
      <c r="A50" s="11"/>
    </row>
    <row r="51" spans="1:7" x14ac:dyDescent="0.25">
      <c r="A51" s="11"/>
    </row>
    <row r="52" spans="1:7" x14ac:dyDescent="0.25">
      <c r="A52" s="11"/>
    </row>
    <row r="53" spans="1:7" x14ac:dyDescent="0.25">
      <c r="A53" s="11"/>
    </row>
    <row r="54" spans="1:7" x14ac:dyDescent="0.25">
      <c r="A54" s="11"/>
    </row>
    <row r="55" spans="1:7" x14ac:dyDescent="0.25">
      <c r="A55" s="11"/>
    </row>
    <row r="56" spans="1:7" x14ac:dyDescent="0.25">
      <c r="A56" s="11"/>
    </row>
    <row r="57" spans="1:7" x14ac:dyDescent="0.25">
      <c r="A57" s="11"/>
    </row>
    <row r="58" spans="1:7" x14ac:dyDescent="0.25">
      <c r="A58" s="11"/>
    </row>
    <row r="59" spans="1:7" x14ac:dyDescent="0.25">
      <c r="A59" s="11"/>
    </row>
    <row r="60" spans="1:7" x14ac:dyDescent="0.25">
      <c r="A60" s="11"/>
    </row>
    <row r="61" spans="1:7" x14ac:dyDescent="0.25">
      <c r="A61" s="11"/>
    </row>
    <row r="62" spans="1:7" x14ac:dyDescent="0.25">
      <c r="A62" s="11"/>
    </row>
    <row r="63" spans="1:7" x14ac:dyDescent="0.25">
      <c r="A63" s="11"/>
    </row>
    <row r="64" spans="1:7" x14ac:dyDescent="0.25">
      <c r="A64" s="11"/>
    </row>
    <row r="65" spans="1:7" x14ac:dyDescent="0.25">
      <c r="A65" s="11"/>
    </row>
    <row r="66" spans="1:7" x14ac:dyDescent="0.25">
      <c r="A66" s="11"/>
    </row>
    <row r="67" spans="1:7" x14ac:dyDescent="0.25">
      <c r="A67" s="11"/>
    </row>
    <row r="68" spans="1:7" x14ac:dyDescent="0.25">
      <c r="A68" s="11"/>
    </row>
    <row r="69" spans="1:7" x14ac:dyDescent="0.25">
      <c r="A69" s="11"/>
    </row>
    <row r="70" spans="1:7" x14ac:dyDescent="0.25">
      <c r="A70" s="11"/>
    </row>
    <row r="71" spans="1:7" x14ac:dyDescent="0.25">
      <c r="A71" s="11"/>
    </row>
    <row r="72" spans="1:7" x14ac:dyDescent="0.25">
      <c r="A72" s="11"/>
    </row>
    <row r="73" spans="1:7" x14ac:dyDescent="0.25">
      <c r="A73" s="11"/>
    </row>
    <row r="74" spans="1:7" x14ac:dyDescent="0.25">
      <c r="A74" s="11"/>
    </row>
    <row r="75" spans="1:7" x14ac:dyDescent="0.25">
      <c r="A75" s="11"/>
    </row>
    <row r="76" spans="1:7" x14ac:dyDescent="0.25">
      <c r="A76" s="11"/>
    </row>
    <row r="77" spans="1:7" x14ac:dyDescent="0.25">
      <c r="A77" s="11"/>
    </row>
    <row r="78" spans="1:7" x14ac:dyDescent="0.25">
      <c r="A78" s="11"/>
    </row>
    <row r="79" spans="1:7" x14ac:dyDescent="0.25">
      <c r="A79" s="11"/>
    </row>
    <row r="80" spans="1:7" x14ac:dyDescent="0.25">
      <c r="A80" s="11"/>
    </row>
    <row r="81" spans="1:7" x14ac:dyDescent="0.25">
      <c r="A81" s="11"/>
    </row>
    <row r="82" spans="1:7" x14ac:dyDescent="0.25">
      <c r="A82" s="11"/>
    </row>
    <row r="83" spans="1:7" x14ac:dyDescent="0.25">
      <c r="A83" s="11"/>
    </row>
    <row r="84" spans="1:7" x14ac:dyDescent="0.25">
      <c r="A84" s="11"/>
    </row>
    <row r="85" spans="1:7" x14ac:dyDescent="0.25">
      <c r="A85" s="11"/>
    </row>
    <row r="86" spans="1:7" x14ac:dyDescent="0.25">
      <c r="A86" s="11"/>
    </row>
    <row r="87" spans="1:7" x14ac:dyDescent="0.25">
      <c r="A87" s="11"/>
    </row>
    <row r="88" spans="1:7" x14ac:dyDescent="0.25">
      <c r="A88" s="11"/>
    </row>
    <row r="89" spans="1:7" x14ac:dyDescent="0.25">
      <c r="A89" s="11"/>
    </row>
    <row r="90" spans="1:7" x14ac:dyDescent="0.25">
      <c r="A90" s="11"/>
    </row>
    <row r="91" spans="1:7" x14ac:dyDescent="0.25">
      <c r="A91" s="11"/>
    </row>
    <row r="92" spans="1:7" x14ac:dyDescent="0.25">
      <c r="A92" s="11"/>
    </row>
    <row r="93" spans="1:7" x14ac:dyDescent="0.25">
      <c r="A93" s="11"/>
    </row>
    <row r="94" spans="1:7" x14ac:dyDescent="0.25">
      <c r="A94" s="11"/>
    </row>
    <row r="95" spans="1:7" x14ac:dyDescent="0.25">
      <c r="A95" s="11"/>
    </row>
    <row r="96" spans="1:7" x14ac:dyDescent="0.25">
      <c r="A96" s="11"/>
    </row>
    <row r="97" spans="1:7" x14ac:dyDescent="0.25">
      <c r="A97" s="11"/>
    </row>
    <row r="98" spans="1:7" x14ac:dyDescent="0.25">
      <c r="A98" s="11"/>
    </row>
    <row r="99" spans="1:7" x14ac:dyDescent="0.25">
      <c r="A99" s="11"/>
    </row>
    <row r="100" spans="1:7" x14ac:dyDescent="0.25">
      <c r="A100" s="11"/>
    </row>
    <row r="101" spans="1:7" x14ac:dyDescent="0.25">
      <c r="A101" s="11"/>
    </row>
    <row r="102" spans="1:7" x14ac:dyDescent="0.25">
      <c r="A102" s="11"/>
    </row>
    <row r="103" spans="1:7" x14ac:dyDescent="0.25">
      <c r="A103" s="11"/>
    </row>
    <row r="104" spans="1:7" x14ac:dyDescent="0.25">
      <c r="A104" s="11"/>
    </row>
    <row r="105" spans="1:7" x14ac:dyDescent="0.25">
      <c r="A105" s="11"/>
    </row>
    <row r="106" spans="1:7" x14ac:dyDescent="0.25">
      <c r="A106" s="11"/>
    </row>
    <row r="107" spans="1:7" x14ac:dyDescent="0.25">
      <c r="A107" s="11"/>
    </row>
    <row r="108" spans="1:7" x14ac:dyDescent="0.25">
      <c r="A108" s="11"/>
    </row>
    <row r="109" spans="1:7" x14ac:dyDescent="0.25">
      <c r="A109" s="11"/>
    </row>
    <row r="110" spans="1:7" x14ac:dyDescent="0.25">
      <c r="A110" s="11"/>
    </row>
    <row r="111" spans="1:7" x14ac:dyDescent="0.25">
      <c r="A111" s="11"/>
    </row>
    <row r="112" spans="1:7" x14ac:dyDescent="0.25">
      <c r="A112" s="11"/>
    </row>
    <row r="113" spans="1:7" x14ac:dyDescent="0.25">
      <c r="A113" s="11"/>
    </row>
    <row r="114" spans="1:7" x14ac:dyDescent="0.25">
      <c r="A114" s="11"/>
    </row>
    <row r="115" spans="1:7" x14ac:dyDescent="0.25">
      <c r="A115" s="11"/>
    </row>
    <row r="116" spans="1:7" x14ac:dyDescent="0.25">
      <c r="A116" s="11"/>
    </row>
    <row r="117" spans="1:7" x14ac:dyDescent="0.25">
      <c r="A117" s="11"/>
    </row>
    <row r="118" spans="1:7" x14ac:dyDescent="0.25">
      <c r="A118" s="11"/>
    </row>
    <row r="119" spans="1:7" x14ac:dyDescent="0.25">
      <c r="A119" s="11"/>
    </row>
    <row r="120" spans="1:7" x14ac:dyDescent="0.25">
      <c r="A120" s="11"/>
    </row>
    <row r="121" spans="1:7" x14ac:dyDescent="0.25">
      <c r="A121" s="11"/>
    </row>
    <row r="122" spans="1:7" x14ac:dyDescent="0.25">
      <c r="A122" s="11"/>
    </row>
    <row r="123" spans="1:7" x14ac:dyDescent="0.25">
      <c r="A123" s="11"/>
    </row>
    <row r="124" spans="1:7" x14ac:dyDescent="0.25">
      <c r="A124" s="11"/>
    </row>
    <row r="125" spans="1:7" x14ac:dyDescent="0.25">
      <c r="A125" s="11"/>
    </row>
    <row r="126" spans="1:7" x14ac:dyDescent="0.25">
      <c r="A126" s="11"/>
    </row>
    <row r="127" spans="1:7" x14ac:dyDescent="0.25">
      <c r="A127" s="11"/>
    </row>
    <row r="128" spans="1:7" x14ac:dyDescent="0.25">
      <c r="A128" s="11"/>
    </row>
    <row r="129" spans="1:7" x14ac:dyDescent="0.25">
      <c r="A129" s="11"/>
    </row>
    <row r="130" spans="1:7" x14ac:dyDescent="0.25">
      <c r="A130" s="11"/>
    </row>
    <row r="131" spans="1:7" x14ac:dyDescent="0.25">
      <c r="A131" s="11"/>
    </row>
    <row r="132" spans="1:7" x14ac:dyDescent="0.25">
      <c r="A132" s="11"/>
    </row>
    <row r="133" spans="1:7" x14ac:dyDescent="0.25">
      <c r="A133" s="11"/>
    </row>
    <row r="134" spans="1:7" x14ac:dyDescent="0.25">
      <c r="A134" s="11"/>
    </row>
    <row r="135" spans="1:7" x14ac:dyDescent="0.25">
      <c r="A135" s="11"/>
    </row>
    <row r="136" spans="1:7" x14ac:dyDescent="0.25">
      <c r="A136" s="11"/>
    </row>
    <row r="137" spans="1:7" x14ac:dyDescent="0.25">
      <c r="A137" s="11"/>
    </row>
    <row r="138" spans="1:7" x14ac:dyDescent="0.25">
      <c r="A138" s="11"/>
    </row>
    <row r="139" spans="1:7" x14ac:dyDescent="0.25">
      <c r="A139" s="11"/>
    </row>
    <row r="140" spans="1:7" x14ac:dyDescent="0.25">
      <c r="A140" s="11"/>
    </row>
    <row r="141" spans="1:7" x14ac:dyDescent="0.25">
      <c r="A141" s="11"/>
    </row>
    <row r="142" spans="1:7" x14ac:dyDescent="0.25">
      <c r="A142" s="11"/>
    </row>
    <row r="143" spans="1:7" x14ac:dyDescent="0.25">
      <c r="A143" s="11"/>
    </row>
    <row r="144" spans="1:7" x14ac:dyDescent="0.25">
      <c r="A144" s="11"/>
    </row>
    <row r="145" spans="1:7" x14ac:dyDescent="0.25">
      <c r="A145" s="11"/>
    </row>
    <row r="146" spans="1:7" x14ac:dyDescent="0.25">
      <c r="A146" s="11"/>
    </row>
    <row r="147" spans="1:7" x14ac:dyDescent="0.25">
      <c r="A147" s="11"/>
    </row>
    <row r="148" spans="1:7" x14ac:dyDescent="0.25">
      <c r="A148" s="11"/>
    </row>
    <row r="149" spans="1:7" x14ac:dyDescent="0.25">
      <c r="A149" s="11"/>
    </row>
    <row r="150" spans="1:7" x14ac:dyDescent="0.25">
      <c r="A150" s="11"/>
    </row>
    <row r="151" spans="1:7" x14ac:dyDescent="0.25">
      <c r="A151" s="11"/>
    </row>
    <row r="152" spans="1:7" x14ac:dyDescent="0.25">
      <c r="A152" s="11"/>
    </row>
    <row r="153" spans="1:7" x14ac:dyDescent="0.25">
      <c r="A153" s="11"/>
    </row>
    <row r="154" spans="1:7" x14ac:dyDescent="0.25">
      <c r="A154" s="11"/>
    </row>
    <row r="155" spans="1:7" x14ac:dyDescent="0.25">
      <c r="A155" s="11"/>
    </row>
    <row r="156" spans="1:7" x14ac:dyDescent="0.25">
      <c r="A156" s="11"/>
    </row>
    <row r="157" spans="1:7" x14ac:dyDescent="0.25">
      <c r="A157" s="11"/>
    </row>
    <row r="158" spans="1:7" x14ac:dyDescent="0.25">
      <c r="A158" s="11"/>
    </row>
    <row r="159" spans="1:7" x14ac:dyDescent="0.25">
      <c r="A159" s="11"/>
    </row>
    <row r="160" spans="1:7" x14ac:dyDescent="0.25">
      <c r="A160" s="11"/>
    </row>
    <row r="161" spans="1:7" x14ac:dyDescent="0.25">
      <c r="A161" s="11"/>
    </row>
    <row r="162" spans="1:7" x14ac:dyDescent="0.25">
      <c r="A162" s="11"/>
    </row>
    <row r="163" spans="1:7" x14ac:dyDescent="0.25">
      <c r="A163" s="11"/>
    </row>
    <row r="164" spans="1:7" x14ac:dyDescent="0.25">
      <c r="A164" s="11"/>
    </row>
    <row r="165" spans="1:7" x14ac:dyDescent="0.25">
      <c r="A165" s="11"/>
    </row>
    <row r="166" spans="1:7" x14ac:dyDescent="0.25">
      <c r="A166" s="11"/>
    </row>
    <row r="167" spans="1:7" x14ac:dyDescent="0.25">
      <c r="A167" s="11"/>
    </row>
    <row r="168" spans="1:7" x14ac:dyDescent="0.25">
      <c r="A168" s="11"/>
    </row>
    <row r="169" spans="1:7" x14ac:dyDescent="0.25">
      <c r="A169" s="11"/>
    </row>
    <row r="170" spans="1:7" x14ac:dyDescent="0.25">
      <c r="A170" s="11"/>
    </row>
    <row r="171" spans="1:7" x14ac:dyDescent="0.25">
      <c r="A171" s="11"/>
    </row>
    <row r="172" spans="1:7" x14ac:dyDescent="0.25">
      <c r="A172" s="11"/>
    </row>
    <row r="173" spans="1:7" x14ac:dyDescent="0.25">
      <c r="A173" s="11"/>
    </row>
    <row r="174" spans="1:7" x14ac:dyDescent="0.25">
      <c r="A174" s="11"/>
    </row>
    <row r="175" spans="1:7" x14ac:dyDescent="0.25">
      <c r="A175" s="11"/>
    </row>
    <row r="176" spans="1:7" x14ac:dyDescent="0.25">
      <c r="A176" s="11"/>
    </row>
    <row r="177" spans="1:7" x14ac:dyDescent="0.25">
      <c r="A177" s="11"/>
    </row>
    <row r="178" spans="1:7" x14ac:dyDescent="0.25">
      <c r="A178" s="11"/>
    </row>
    <row r="179" spans="1:7" x14ac:dyDescent="0.25">
      <c r="A179" s="11"/>
    </row>
    <row r="180" spans="1:7" x14ac:dyDescent="0.25">
      <c r="A180" s="11"/>
    </row>
    <row r="181" spans="1:7" x14ac:dyDescent="0.25">
      <c r="A181" s="11"/>
    </row>
    <row r="182" spans="1:7" x14ac:dyDescent="0.25">
      <c r="A182" s="11"/>
    </row>
    <row r="183" spans="1:7" x14ac:dyDescent="0.25">
      <c r="A183" s="11"/>
    </row>
    <row r="184" spans="1:7" x14ac:dyDescent="0.25">
      <c r="A184" s="11"/>
    </row>
    <row r="185" spans="1:7" x14ac:dyDescent="0.25">
      <c r="A185" s="11"/>
    </row>
    <row r="186" spans="1:7" x14ac:dyDescent="0.25">
      <c r="A186" s="11"/>
    </row>
    <row r="187" spans="1:7" x14ac:dyDescent="0.25">
      <c r="A187" s="11"/>
    </row>
    <row r="188" spans="1:7" x14ac:dyDescent="0.25">
      <c r="A188" s="11"/>
    </row>
    <row r="189" spans="1:7" x14ac:dyDescent="0.25">
      <c r="A189" s="11"/>
    </row>
    <row r="190" spans="1:7" x14ac:dyDescent="0.25">
      <c r="A190" s="11"/>
    </row>
    <row r="191" spans="1:7" x14ac:dyDescent="0.25">
      <c r="A191" s="11"/>
    </row>
    <row r="192" spans="1:7" x14ac:dyDescent="0.25">
      <c r="A192" s="11"/>
    </row>
    <row r="193" spans="1:7" x14ac:dyDescent="0.25">
      <c r="A193" s="11"/>
    </row>
    <row r="194" spans="1:7" x14ac:dyDescent="0.25">
      <c r="A194" s="11"/>
    </row>
    <row r="195" spans="1:7" x14ac:dyDescent="0.25">
      <c r="A195" s="11"/>
    </row>
    <row r="196" spans="1:7" x14ac:dyDescent="0.25">
      <c r="A196" s="11"/>
    </row>
    <row r="197" spans="1:7" x14ac:dyDescent="0.25">
      <c r="A197" s="11"/>
    </row>
    <row r="198" spans="1:7" x14ac:dyDescent="0.25">
      <c r="A198" s="11"/>
    </row>
    <row r="199" spans="1:7" x14ac:dyDescent="0.25">
      <c r="A199" s="11"/>
    </row>
    <row r="200" spans="1:7" x14ac:dyDescent="0.25">
      <c r="A200" s="11"/>
    </row>
    <row r="201" spans="1:7" x14ac:dyDescent="0.25">
      <c r="A201" s="11"/>
    </row>
  </sheetData>
  <autoFilter ref="A1:I201"/>
  <dataValidations count="10">
    <dataValidation type="list" allowBlank="1" sqref="B10:B201">
      <formula1>Listas!$B$2:$B$4</formula1>
    </dataValidation>
    <dataValidation type="list" allowBlank="1" sqref="B2:B201">
      <formula1>Listas!$B$2:$B$4</formula1>
    </dataValidation>
    <dataValidation type="list" allowBlank="1" sqref="C10:C201">
      <formula1>Listas!$A$2:$A$9</formula1>
    </dataValidation>
    <dataValidation type="list" allowBlank="1" sqref="C2:C201">
      <formula1>Listas!$A$2:$A$9</formula1>
    </dataValidation>
    <dataValidation type="list" allowBlank="1" sqref="D10:D201">
      <formula1>Listas!$E$2:$E$3</formula1>
    </dataValidation>
    <dataValidation type="list" allowBlank="1" sqref="D2:D201">
      <formula1>Listas!$E$2:$E$3</formula1>
    </dataValidation>
    <dataValidation type="list" allowBlank="1" sqref="E10:E201">
      <formula1>Listas!$C$2:$C$4</formula1>
    </dataValidation>
    <dataValidation type="list" allowBlank="1" sqref="E2:E201">
      <formula1>Listas!$C$2:$C$4</formula1>
    </dataValidation>
    <dataValidation type="list" allowBlank="1" sqref="G10:G201">
      <formula1>Listas!$D$2:$D$9</formula1>
    </dataValidation>
    <dataValidation type="list" allowBlank="1" sqref="G2:G201">
      <formula1>Listas!$D$2:$D$9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26" customWidth="1"/>
    <col min="2" max="2" width="12" customWidth="1"/>
    <col min="3" max="9" width="16" customWidth="1"/>
  </cols>
  <sheetData>
    <row r="1" ht="28" customHeight="1" spans="1:9" x14ac:dyDescent="0.25">
      <c r="A1" s="6" t="s">
        <v>62</v>
      </c>
      <c r="B1" s="6" t="s">
        <v>82</v>
      </c>
      <c r="C1" s="6" t="s">
        <v>50</v>
      </c>
      <c r="D1" s="6" t="s">
        <v>69</v>
      </c>
      <c r="E1" s="6" t="s">
        <v>73</v>
      </c>
      <c r="F1" s="6" t="s">
        <v>57</v>
      </c>
      <c r="G1" s="6" t="s">
        <v>74</v>
      </c>
      <c r="H1" s="6" t="s">
        <v>75</v>
      </c>
      <c r="I1" s="6" t="s">
        <v>76</v>
      </c>
    </row>
    <row r="2" spans="1:9" x14ac:dyDescent="0.25">
      <c r="A2" t="s">
        <v>13</v>
      </c>
      <c r="B2">
        <f>COUNTIF(Registro!$C$2:$C$201,A2)</f>
      </c>
      <c r="C2">
        <f>COUNTIFS(Registro!$C$2:$C$201,$A2,Registro!$G$2:$G$201,"Remate")</f>
      </c>
      <c r="D2">
        <f>COUNTIFS(Registro!$C$2:$C$201,$A2,Registro!$G$2:$G$201,"Gol")</f>
      </c>
      <c r="E2">
        <f>COUNTIFS(Registro!$C$2:$C$201,$A2,Registro!$G$2:$G$201,"Pérdida")</f>
      </c>
      <c r="F2">
        <f>COUNTIFS(Registro!$C$2:$C$201,$A2,Registro!$G$2:$G$201,"Falta")</f>
      </c>
      <c r="G2">
        <f>COUNTIFS(Registro!$C$2:$C$201,$A2,Registro!$G$2:$G$201,"Recuperación")</f>
      </c>
      <c r="H2">
        <f>COUNTIFS(Registro!$C$2:$C$201,$A2,Registro!$G$2:$G$201,"Remate recibido")</f>
      </c>
      <c r="I2">
        <f>COUNTIFS(Registro!$C$2:$C$201,$A2,Registro!$G$2:$G$201,"Gol recibido")</f>
      </c>
    </row>
    <row r="3" spans="1:9" x14ac:dyDescent="0.25">
      <c r="A3" t="s">
        <v>22</v>
      </c>
      <c r="B3">
        <f>COUNTIF(Registro!$C$2:$C$201,A3)</f>
      </c>
      <c r="C3">
        <f>COUNTIFS(Registro!$C$2:$C$201,$A3,Registro!$G$2:$G$201,"Remate")</f>
      </c>
      <c r="D3">
        <f>COUNTIFS(Registro!$C$2:$C$201,$A3,Registro!$G$2:$G$201,"Gol")</f>
      </c>
      <c r="E3">
        <f>COUNTIFS(Registro!$C$2:$C$201,$A3,Registro!$G$2:$G$201,"Pérdida")</f>
      </c>
      <c r="F3">
        <f>COUNTIFS(Registro!$C$2:$C$201,$A3,Registro!$G$2:$G$201,"Falta")</f>
      </c>
      <c r="G3">
        <f>COUNTIFS(Registro!$C$2:$C$201,$A3,Registro!$G$2:$G$201,"Recuperación")</f>
      </c>
      <c r="H3">
        <f>COUNTIFS(Registro!$C$2:$C$201,$A3,Registro!$G$2:$G$201,"Remate recibido")</f>
      </c>
      <c r="I3">
        <f>COUNTIFS(Registro!$C$2:$C$201,$A3,Registro!$G$2:$G$201,"Gol recibido")</f>
      </c>
    </row>
    <row r="4" spans="1:9" x14ac:dyDescent="0.25">
      <c r="A4" t="s">
        <v>27</v>
      </c>
      <c r="B4">
        <f>COUNTIF(Registro!$C$2:$C$201,A4)</f>
      </c>
      <c r="C4">
        <f>COUNTIFS(Registro!$C$2:$C$201,$A4,Registro!$G$2:$G$201,"Remate")</f>
      </c>
      <c r="D4">
        <f>COUNTIFS(Registro!$C$2:$C$201,$A4,Registro!$G$2:$G$201,"Gol")</f>
      </c>
      <c r="E4">
        <f>COUNTIFS(Registro!$C$2:$C$201,$A4,Registro!$G$2:$G$201,"Pérdida")</f>
      </c>
      <c r="F4">
        <f>COUNTIFS(Registro!$C$2:$C$201,$A4,Registro!$G$2:$G$201,"Falta")</f>
      </c>
      <c r="G4">
        <f>COUNTIFS(Registro!$C$2:$C$201,$A4,Registro!$G$2:$G$201,"Recuperación")</f>
      </c>
      <c r="H4">
        <f>COUNTIFS(Registro!$C$2:$C$201,$A4,Registro!$G$2:$G$201,"Remate recibido")</f>
      </c>
      <c r="I4">
        <f>COUNTIFS(Registro!$C$2:$C$201,$A4,Registro!$G$2:$G$201,"Gol recibido")</f>
      </c>
    </row>
    <row r="5" spans="1:9" x14ac:dyDescent="0.25">
      <c r="A5" t="s">
        <v>33</v>
      </c>
      <c r="B5">
        <f>COUNTIF(Registro!$C$2:$C$201,A5)</f>
      </c>
      <c r="C5">
        <f>COUNTIFS(Registro!$C$2:$C$201,$A5,Registro!$G$2:$G$201,"Remate")</f>
      </c>
      <c r="D5">
        <f>COUNTIFS(Registro!$C$2:$C$201,$A5,Registro!$G$2:$G$201,"Gol")</f>
      </c>
      <c r="E5">
        <f>COUNTIFS(Registro!$C$2:$C$201,$A5,Registro!$G$2:$G$201,"Pérdida")</f>
      </c>
      <c r="F5">
        <f>COUNTIFS(Registro!$C$2:$C$201,$A5,Registro!$G$2:$G$201,"Falta")</f>
      </c>
      <c r="G5">
        <f>COUNTIFS(Registro!$C$2:$C$201,$A5,Registro!$G$2:$G$201,"Recuperación")</f>
      </c>
      <c r="H5">
        <f>COUNTIFS(Registro!$C$2:$C$201,$A5,Registro!$G$2:$G$201,"Remate recibido")</f>
      </c>
      <c r="I5">
        <f>COUNTIFS(Registro!$C$2:$C$201,$A5,Registro!$G$2:$G$201,"Gol recibido")</f>
      </c>
    </row>
    <row r="6" spans="1:9" x14ac:dyDescent="0.25">
      <c r="A6" t="s">
        <v>39</v>
      </c>
      <c r="B6">
        <f>COUNTIF(Registro!$C$2:$C$201,A6)</f>
      </c>
      <c r="C6">
        <f>COUNTIFS(Registro!$C$2:$C$201,$A6,Registro!$G$2:$G$201,"Remate")</f>
      </c>
      <c r="D6">
        <f>COUNTIFS(Registro!$C$2:$C$201,$A6,Registro!$G$2:$G$201,"Gol")</f>
      </c>
      <c r="E6">
        <f>COUNTIFS(Registro!$C$2:$C$201,$A6,Registro!$G$2:$G$201,"Pérdida")</f>
      </c>
      <c r="F6">
        <f>COUNTIFS(Registro!$C$2:$C$201,$A6,Registro!$G$2:$G$201,"Falta")</f>
      </c>
      <c r="G6">
        <f>COUNTIFS(Registro!$C$2:$C$201,$A6,Registro!$G$2:$G$201,"Recuperación")</f>
      </c>
      <c r="H6">
        <f>COUNTIFS(Registro!$C$2:$C$201,$A6,Registro!$G$2:$G$201,"Remate recibido")</f>
      </c>
      <c r="I6">
        <f>COUNTIFS(Registro!$C$2:$C$201,$A6,Registro!$G$2:$G$201,"Gol recibido")</f>
      </c>
    </row>
    <row r="7" spans="1:9" x14ac:dyDescent="0.25">
      <c r="A7" t="s">
        <v>45</v>
      </c>
      <c r="B7">
        <f>COUNTIF(Registro!$C$2:$C$201,A7)</f>
      </c>
      <c r="C7">
        <f>COUNTIFS(Registro!$C$2:$C$201,$A7,Registro!$G$2:$G$201,"Remate")</f>
      </c>
      <c r="D7">
        <f>COUNTIFS(Registro!$C$2:$C$201,$A7,Registro!$G$2:$G$201,"Gol")</f>
      </c>
      <c r="E7">
        <f>COUNTIFS(Registro!$C$2:$C$201,$A7,Registro!$G$2:$G$201,"Pérdida")</f>
      </c>
      <c r="F7">
        <f>COUNTIFS(Registro!$C$2:$C$201,$A7,Registro!$G$2:$G$201,"Falta")</f>
      </c>
      <c r="G7">
        <f>COUNTIFS(Registro!$C$2:$C$201,$A7,Registro!$G$2:$G$201,"Recuperación")</f>
      </c>
      <c r="H7">
        <f>COUNTIFS(Registro!$C$2:$C$201,$A7,Registro!$G$2:$G$201,"Remate recibido")</f>
      </c>
      <c r="I7">
        <f>COUNTIFS(Registro!$C$2:$C$201,$A7,Registro!$G$2:$G$201,"Gol recibido")</f>
      </c>
    </row>
    <row r="8" spans="1:9" x14ac:dyDescent="0.25">
      <c r="A8" t="s">
        <v>50</v>
      </c>
      <c r="B8">
        <f>COUNTIF(Registro!$C$2:$C$201,A8)</f>
      </c>
      <c r="C8">
        <f>COUNTIFS(Registro!$C$2:$C$201,$A8,Registro!$G$2:$G$201,"Remate")</f>
      </c>
      <c r="D8">
        <f>COUNTIFS(Registro!$C$2:$C$201,$A8,Registro!$G$2:$G$201,"Gol")</f>
      </c>
      <c r="E8">
        <f>COUNTIFS(Registro!$C$2:$C$201,$A8,Registro!$G$2:$G$201,"Pérdida")</f>
      </c>
      <c r="F8">
        <f>COUNTIFS(Registro!$C$2:$C$201,$A8,Registro!$G$2:$G$201,"Falta")</f>
      </c>
      <c r="G8">
        <f>COUNTIFS(Registro!$C$2:$C$201,$A8,Registro!$G$2:$G$201,"Recuperación")</f>
      </c>
      <c r="H8">
        <f>COUNTIFS(Registro!$C$2:$C$201,$A8,Registro!$G$2:$G$201,"Remate recibido")</f>
      </c>
      <c r="I8">
        <f>COUNTIFS(Registro!$C$2:$C$201,$A8,Registro!$G$2:$G$201,"Gol recibido")</f>
      </c>
    </row>
    <row r="9" spans="1:9" x14ac:dyDescent="0.25">
      <c r="A9" t="s">
        <v>57</v>
      </c>
      <c r="B9">
        <f>COUNTIF(Registro!$C$2:$C$201,A9)</f>
      </c>
      <c r="C9">
        <f>COUNTIFS(Registro!$C$2:$C$201,$A9,Registro!$G$2:$G$201,"Remate")</f>
      </c>
      <c r="D9">
        <f>COUNTIFS(Registro!$C$2:$C$201,$A9,Registro!$G$2:$G$201,"Gol")</f>
      </c>
      <c r="E9">
        <f>COUNTIFS(Registro!$C$2:$C$201,$A9,Registro!$G$2:$G$201,"Pérdida")</f>
      </c>
      <c r="F9">
        <f>COUNTIFS(Registro!$C$2:$C$201,$A9,Registro!$G$2:$G$201,"Falta")</f>
      </c>
      <c r="G9">
        <f>COUNTIFS(Registro!$C$2:$C$201,$A9,Registro!$G$2:$G$201,"Recuperación")</f>
      </c>
      <c r="H9">
        <f>COUNTIFS(Registro!$C$2:$C$201,$A9,Registro!$G$2:$G$201,"Remate recibido")</f>
      </c>
      <c r="I9">
        <f>COUNTIFS(Registro!$C$2:$C$201,$A9,Registro!$G$2:$G$201,"Gol recibido")</f>
      </c>
    </row>
    <row r="12" spans="1:1" x14ac:dyDescent="0.25">
      <c r="A12" s="1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Cómo usarla</vt:lpstr>
      <vt:lpstr>Panel</vt:lpstr>
      <vt:lpstr>Listas</vt:lpstr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Granados</dc:creator>
  <dc:title/>
  <dc:subject/>
  <dc:description/>
  <cp:keywords/>
  <cp:category/>
  <cp:lastModifiedBy>Unknown</cp:lastModifiedBy>
  <dcterms:created xsi:type="dcterms:W3CDTF">2026-10-08T13:48:03Z</dcterms:created>
  <dcterms:modified xsi:type="dcterms:W3CDTF">2026-10-08T13:48:03Z</dcterms:modified>
</cp:coreProperties>
</file>