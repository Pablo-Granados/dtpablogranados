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ómo usarla" state="visible" r:id="rId4"/>
    <sheet sheetId="2" name="Mapa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<sst xmlns="http://schemas.openxmlformats.org/spreadsheetml/2006/main" count="174" uniqueCount="102">
  <si>
    <t>MAPA DE OBSERVACIÓN</t>
  </si>
  <si>
    <t>Qué mirar antes de abrir el video · Pablo Granados</t>
  </si>
  <si>
    <t>Un análisis sin pregunta es una colección de clips. Este mapa ordena lo que mirás en cada partido para que el video responda algo concreto.</t>
  </si>
  <si>
    <t>Está escrito con ejemplos de futsal. Sirve igual para fútbol: cambian las estructuras (líneas, espacios, tiempos de juego), no las preguntas.</t>
  </si>
  <si>
    <t>CÓMO USARLA</t>
  </si>
  <si>
    <t>1. Elegí 2 fases para el partido. No mires todo: priorizá lo que tu equipo está trabajando esta semana.</t>
  </si>
  <si>
    <t>2. Dentro de cada fase, quedate con 1 o 2 principios. Cada uno trae una pregunta y qué buscar en el video.</t>
  </si>
  <si>
    <t>3. Mirá el partido con esas preguntas y marcá en la hoja si se cumple, se cumple a medias o no se cumple. Anotá el minuto.</t>
  </si>
  <si>
    <t>4. Cerrá con una sola decisión: qué se entrena el martes. Si no hay decisión, el análisis no terminó.</t>
  </si>
  <si>
    <t>En la hoja "Mapa", completá las columnas F, G y H. La columna F tiene un menú desplegable.</t>
  </si>
  <si>
    <t>Fase</t>
  </si>
  <si>
    <t>Principio</t>
  </si>
  <si>
    <t>Pregunta de observación</t>
  </si>
  <si>
    <t>Qué buscar en el video</t>
  </si>
  <si>
    <t>Indicador de ejemplo</t>
  </si>
  <si>
    <t>¿Se cumple?</t>
  </si>
  <si>
    <t>Minutos / evidencia</t>
  </si>
  <si>
    <t>Decisión de entrenamiento</t>
  </si>
  <si>
    <t>Ataque organizado</t>
  </si>
  <si>
    <t>Ocupación de espacios</t>
  </si>
  <si>
    <t>¿La estructura ofrece líneas de pase y ocupa ambos lados de la cancha?</t>
  </si>
  <si>
    <t>Distancias entre jugadores, dos jugadores en el mismo carril, pivote fijo o móvil, quién da la profundidad.</t>
  </si>
  <si>
    <t>% de posesiones que llegan al último tercio.</t>
  </si>
  <si>
    <t/>
  </si>
  <si>
    <t>Circulación</t>
  </si>
  <si>
    <t>¿Mueve la pelota para desordenar al rival o la juega hacia adelante sin ventaja?</t>
  </si>
  <si>
    <t>Cambios de lado, uso del pase atrás, paciencia ante la presión, pérdidas por apuro.</t>
  </si>
  <si>
    <t>Pases por posesión antes del remate.</t>
  </si>
  <si>
    <t>Finalización</t>
  </si>
  <si>
    <t>¿Qué situaciones generan los remates y desde dónde?</t>
  </si>
  <si>
    <t>Jugada previa al remate, zona de remate, remates tras 1v1, tras pared o tras segunda jugada.</t>
  </si>
  <si>
    <t>Remates por posesión y zona de remate.</t>
  </si>
  <si>
    <t>Defensa organizada</t>
  </si>
  <si>
    <t>Presión</t>
  </si>
  <si>
    <t>¿Dónde presiona el equipo y qué dispara la presión?</t>
  </si>
  <si>
    <t>Altura de la línea de presión, presión zonal o individual, quién sale primero, señal para salir.</t>
  </si>
  <si>
    <t>Recuperaciones en campo rival.</t>
  </si>
  <si>
    <t>Cobertura y equilibrio</t>
  </si>
  <si>
    <t>¿Hay cobertura al que presiona? ¿Qué espacios deja libres?</t>
  </si>
  <si>
    <t>Distancia entre presionante y cobertura, espalda del pivote, pase interior que rompe la presión.</t>
  </si>
  <si>
    <t>Remates recibidos desde la zona central.</t>
  </si>
  <si>
    <t>Faltas y acumuladas</t>
  </si>
  <si>
    <t>¿Cómo se gestionan las faltas? ¿Llega al límite del tiempo con margen?</t>
  </si>
  <si>
    <t>Faltas por tiempo, quién las comete, cuándo se llega a la quinta, faltas tácticas vs. por llegar tarde.</t>
  </si>
  <si>
    <t>Faltas por tiempo y minuto en que llega a la quinta.</t>
  </si>
  <si>
    <t>Transición ofensiva</t>
  </si>
  <si>
    <t>Primer pase</t>
  </si>
  <si>
    <t>¿Qué hace el equipo en los 3 segundos posteriores a recuperar?</t>
  </si>
  <si>
    <t>Quién juega primero, hacia dónde, si busca al pivote, al lateral o al arquero.</t>
  </si>
  <si>
    <t>% de recuperaciones que terminan en ataque directo.</t>
  </si>
  <si>
    <t>Velocidad y número</t>
  </si>
  <si>
    <t>¿Cuántos jugadores se suman y a qué velocidad llegan al remate?</t>
  </si>
  <si>
    <t>Carriles ocupados, apoyos en profundidad, segundos entre recuperar y rematar.</t>
  </si>
  <si>
    <t>Ataques que terminan en remate dentro de 10 segundos.</t>
  </si>
  <si>
    <t>Elección: contra o pausa</t>
  </si>
  <si>
    <t>¿Elige bien entre contragolpear y asegurar la posesión?</t>
  </si>
  <si>
    <t>Contraataques sin superioridad numérica, pérdidas inmediatas después de recuperar.</t>
  </si>
  <si>
    <t>Pérdidas dentro de los 5 segundos posteriores a recuperar.</t>
  </si>
  <si>
    <t>Transición defensiva</t>
  </si>
  <si>
    <t>Reacción inmediata</t>
  </si>
  <si>
    <t>¿Presiona la pelota al perderla o se repliega? ¿En cuántos segundos se reorganiza?</t>
  </si>
  <si>
    <t>Quién reacciona primero, si hay un criterio común, si el equipo queda partido.</t>
  </si>
  <si>
    <t>Segundos hasta recuperar o hasta tener la estructura formada.</t>
  </si>
  <si>
    <t>Protección del centro y del arco</t>
  </si>
  <si>
    <t>¿Dónde se pierde la pelota y qué espacio queda desprotegido?</t>
  </si>
  <si>
    <t>Zona de pérdidas, jugadores por detrás de la pelota, cobertura del carril central.</t>
  </si>
  <si>
    <t>Mapa de zonas de pérdida y remates recibidos tras pérdida.</t>
  </si>
  <si>
    <t>Cuando falla</t>
  </si>
  <si>
    <t>¿Cómo corrige el equipo cuando la reacción llega tarde?</t>
  </si>
  <si>
    <t>Faltas tácticas, retroceso del arquero, 1v1 que deja el equipo en inferioridad.</t>
  </si>
  <si>
    <t>Faltas tácticas y ocasiones concedidas en transición.</t>
  </si>
  <si>
    <t>Pelota parada</t>
  </si>
  <si>
    <t>Saque de banda</t>
  </si>
  <si>
    <t>¿Hay rutinas definidas? ¿Cuántas variantes tiene y cuál usa en cada zona?</t>
  </si>
  <si>
    <t>Quién saca, jugadores que se mueven antes, variante repetida, cómo defiende el saque rival.</t>
  </si>
  <si>
    <t>Saques con continuidad vs. pérdidas inmediatas.</t>
  </si>
  <si>
    <t>Córner</t>
  </si>
  <si>
    <t>¿Cuál es la estructura ofensiva y defensiva? ¿Qué jugadas se repiten?</t>
  </si>
  <si>
    <t>Ejecutor, bloqueos, uso de zonas, marca zonal o individual, quién queda en transición.</t>
  </si>
  <si>
    <t>Remates y goles por córner a favor y en contra.</t>
  </si>
  <si>
    <t>Tiro libre y faltas laterales</t>
  </si>
  <si>
    <t>¿Hay ejecución preparada o improvisada? ¿Cómo se defiende la barrera?</t>
  </si>
  <si>
    <t>Ejecutor, distribución en la cancha, diferencia entre tiro directo e indirecto, rebote.</t>
  </si>
  <si>
    <t>Remates por tiro libre y calidad del rebote.</t>
  </si>
  <si>
    <t>Situaciones especiales</t>
  </si>
  <si>
    <t>Portero-jugador</t>
  </si>
  <si>
    <t>¿Cuándo y cómo juega con quinto jugador de campo? ¿Qué riesgo asume?</t>
  </si>
  <si>
    <t>Cuándo lo activa, estructura elegida, rotaciones, pérdidas que terminan en gol a arco vacío.</t>
  </si>
  <si>
    <t>Remates a favor y goles en contra durante el portero-jugador.</t>
  </si>
  <si>
    <t>Superioridad e inferioridad</t>
  </si>
  <si>
    <t>¿Cómo se organiza con un jugador más o uno menos?</t>
  </si>
  <si>
    <t>Estructura, tiempo de posesión, riesgos asumidos, cómo se gestionan los 2 minutos.</t>
  </si>
  <si>
    <t>Goles a favor y en contra por cada período con distinto número.</t>
  </si>
  <si>
    <t>Gestión del partido</t>
  </si>
  <si>
    <t>¿Cómo usa el equipo los tiempos muertos, los cambios y los últimos minutos?</t>
  </si>
  <si>
    <t>Momento del tiempo muerto, cambios con intención, ajustes entre tiempos.</t>
  </si>
  <si>
    <t>Resultado y juego antes y después de cada decisión de banco.</t>
  </si>
  <si>
    <t>Sí</t>
  </si>
  <si>
    <t>Parcial</t>
  </si>
  <si>
    <t>No</t>
  </si>
  <si>
    <t>Sin completar</t>
  </si>
  <si>
    <t>Priorizá las fases con más "No" y "Parcial": ahí está la decisión de la semana.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</si>
</sst>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20"/>
      <name val="Calibri"/>
    </font>
    <font>
      <color rgb="FF5D646D"/>
      <sz val="11"/>
    </font>
    <font>
      <b/>
      <color rgb="FF5D646D"/>
      <sz val="10"/>
    </font>
    <font>
      <i/>
      <color rgb="FF5D646D"/>
    </font>
    <font>
      <b/>
      <color rgb="FFEDEBE6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B0D10"/>
      </patternFill>
    </fill>
    <fill>
      <patternFill patternType="solid">
        <fgColor rgb="FFF7F8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D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/>
    </xf>
    <xf numFmtId="0" fontId="6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3">
    <dxf>
      <fill>
        <patternFill patternType="solid">
          <bgColor rgb="FFCDEFD3"/>
        </patternFill>
      </fill>
    </dxf>
    <dxf>
      <fill>
        <patternFill patternType="solid">
          <bgColor rgb="FFFFEFB3"/>
        </patternFill>
      </fill>
    </dxf>
    <dxf>
      <fill>
        <patternFill patternType="solid">
          <bgColor rgb="FFF8CFC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4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0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ht="34" customHeight="1" spans="2:2" x14ac:dyDescent="0.25">
      <c r="B5" s="3" t="s">
        <v>2</v>
      </c>
    </row>
    <row r="6" ht="34" customHeight="1" spans="2:2" x14ac:dyDescent="0.25">
      <c r="B6" s="3" t="s">
        <v>3</v>
      </c>
    </row>
    <row r="8" spans="2:2" x14ac:dyDescent="0.25">
      <c r="B8" s="4" t="s">
        <v>4</v>
      </c>
    </row>
    <row r="9" ht="32" customHeight="1" spans="2:2" x14ac:dyDescent="0.25">
      <c r="B9" s="3" t="s">
        <v>5</v>
      </c>
    </row>
    <row r="10" ht="32" customHeight="1" spans="2:2" x14ac:dyDescent="0.25">
      <c r="B10" s="3" t="s">
        <v>6</v>
      </c>
    </row>
    <row r="11" ht="32" customHeight="1" spans="2:2" x14ac:dyDescent="0.25">
      <c r="B11" s="3" t="s">
        <v>7</v>
      </c>
    </row>
    <row r="12" ht="32" customHeight="1" spans="2:2" x14ac:dyDescent="0.25">
      <c r="B12" s="3" t="s">
        <v>8</v>
      </c>
    </row>
    <row r="14" ht="32" customHeight="1" spans="2:2" x14ac:dyDescent="0.25">
      <c r="B14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46" customWidth="1"/>
    <col min="4" max="4" width="52" customWidth="1"/>
    <col min="5" max="5" width="36" customWidth="1"/>
    <col min="6" max="6" width="14" customWidth="1"/>
    <col min="7" max="7" width="24" customWidth="1"/>
    <col min="8" max="8" width="40" customWidth="1"/>
  </cols>
  <sheetData>
    <row r="1" ht="28" customHeight="1" spans="1:8" x14ac:dyDescent="0.2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</row>
    <row r="2" ht="62" customHeight="1" spans="1:8" s="3" customFormat="1" x14ac:dyDescent="0.25">
      <c r="A2" s="7" t="s">
        <v>18</v>
      </c>
      <c r="B2" s="7" t="s">
        <v>19</v>
      </c>
      <c r="C2" s="8" t="s">
        <v>20</v>
      </c>
      <c r="D2" s="8" t="s">
        <v>21</v>
      </c>
      <c r="E2" s="8" t="s">
        <v>22</v>
      </c>
      <c r="F2" s="9" t="s">
        <v>23</v>
      </c>
      <c r="G2" s="8" t="s">
        <v>23</v>
      </c>
      <c r="H2" s="8" t="s">
        <v>23</v>
      </c>
    </row>
    <row r="3" ht="62" customHeight="1" spans="1:8" s="3" customFormat="1" x14ac:dyDescent="0.25">
      <c r="A3" s="7" t="s">
        <v>18</v>
      </c>
      <c r="B3" s="7" t="s">
        <v>24</v>
      </c>
      <c r="C3" s="8" t="s">
        <v>25</v>
      </c>
      <c r="D3" s="8" t="s">
        <v>26</v>
      </c>
      <c r="E3" s="8" t="s">
        <v>27</v>
      </c>
      <c r="F3" s="9" t="s">
        <v>23</v>
      </c>
      <c r="G3" s="8" t="s">
        <v>23</v>
      </c>
      <c r="H3" s="8" t="s">
        <v>23</v>
      </c>
    </row>
    <row r="4" ht="62" customHeight="1" spans="1:8" s="3" customFormat="1" x14ac:dyDescent="0.25">
      <c r="A4" s="7" t="s">
        <v>18</v>
      </c>
      <c r="B4" s="7" t="s">
        <v>28</v>
      </c>
      <c r="C4" s="8" t="s">
        <v>29</v>
      </c>
      <c r="D4" s="8" t="s">
        <v>30</v>
      </c>
      <c r="E4" s="8" t="s">
        <v>31</v>
      </c>
      <c r="F4" s="9" t="s">
        <v>23</v>
      </c>
      <c r="G4" s="8" t="s">
        <v>23</v>
      </c>
      <c r="H4" s="8" t="s">
        <v>23</v>
      </c>
    </row>
    <row r="5" ht="62" customHeight="1" spans="1:8" s="3" customFormat="1" x14ac:dyDescent="0.25">
      <c r="A5" s="10" t="s">
        <v>32</v>
      </c>
      <c r="B5" s="10" t="s">
        <v>33</v>
      </c>
      <c r="C5" s="11" t="s">
        <v>34</v>
      </c>
      <c r="D5" s="11" t="s">
        <v>35</v>
      </c>
      <c r="E5" s="11" t="s">
        <v>36</v>
      </c>
      <c r="F5" s="12" t="s">
        <v>23</v>
      </c>
      <c r="G5" s="11" t="s">
        <v>23</v>
      </c>
      <c r="H5" s="11" t="s">
        <v>23</v>
      </c>
    </row>
    <row r="6" ht="62" customHeight="1" spans="1:8" s="3" customFormat="1" x14ac:dyDescent="0.25">
      <c r="A6" s="10" t="s">
        <v>32</v>
      </c>
      <c r="B6" s="10" t="s">
        <v>37</v>
      </c>
      <c r="C6" s="11" t="s">
        <v>38</v>
      </c>
      <c r="D6" s="11" t="s">
        <v>39</v>
      </c>
      <c r="E6" s="11" t="s">
        <v>40</v>
      </c>
      <c r="F6" s="12" t="s">
        <v>23</v>
      </c>
      <c r="G6" s="11" t="s">
        <v>23</v>
      </c>
      <c r="H6" s="11" t="s">
        <v>23</v>
      </c>
    </row>
    <row r="7" ht="62" customHeight="1" spans="1:8" s="3" customFormat="1" x14ac:dyDescent="0.25">
      <c r="A7" s="10" t="s">
        <v>32</v>
      </c>
      <c r="B7" s="10" t="s">
        <v>41</v>
      </c>
      <c r="C7" s="11" t="s">
        <v>42</v>
      </c>
      <c r="D7" s="11" t="s">
        <v>43</v>
      </c>
      <c r="E7" s="11" t="s">
        <v>44</v>
      </c>
      <c r="F7" s="12" t="s">
        <v>23</v>
      </c>
      <c r="G7" s="11" t="s">
        <v>23</v>
      </c>
      <c r="H7" s="11" t="s">
        <v>23</v>
      </c>
    </row>
    <row r="8" ht="62" customHeight="1" spans="1:8" s="3" customFormat="1" x14ac:dyDescent="0.25">
      <c r="A8" s="7" t="s">
        <v>45</v>
      </c>
      <c r="B8" s="7" t="s">
        <v>46</v>
      </c>
      <c r="C8" s="8" t="s">
        <v>47</v>
      </c>
      <c r="D8" s="8" t="s">
        <v>48</v>
      </c>
      <c r="E8" s="8" t="s">
        <v>49</v>
      </c>
      <c r="F8" s="9" t="s">
        <v>23</v>
      </c>
      <c r="G8" s="8" t="s">
        <v>23</v>
      </c>
      <c r="H8" s="8" t="s">
        <v>23</v>
      </c>
    </row>
    <row r="9" ht="62" customHeight="1" spans="1:8" s="3" customFormat="1" x14ac:dyDescent="0.25">
      <c r="A9" s="7" t="s">
        <v>45</v>
      </c>
      <c r="B9" s="7" t="s">
        <v>50</v>
      </c>
      <c r="C9" s="8" t="s">
        <v>51</v>
      </c>
      <c r="D9" s="8" t="s">
        <v>52</v>
      </c>
      <c r="E9" s="8" t="s">
        <v>53</v>
      </c>
      <c r="F9" s="9" t="s">
        <v>23</v>
      </c>
      <c r="G9" s="8" t="s">
        <v>23</v>
      </c>
      <c r="H9" s="8" t="s">
        <v>23</v>
      </c>
    </row>
    <row r="10" ht="62" customHeight="1" spans="1:8" s="3" customFormat="1" x14ac:dyDescent="0.25">
      <c r="A10" s="7" t="s">
        <v>45</v>
      </c>
      <c r="B10" s="7" t="s">
        <v>54</v>
      </c>
      <c r="C10" s="8" t="s">
        <v>55</v>
      </c>
      <c r="D10" s="8" t="s">
        <v>56</v>
      </c>
      <c r="E10" s="8" t="s">
        <v>57</v>
      </c>
      <c r="F10" s="9" t="s">
        <v>23</v>
      </c>
      <c r="G10" s="8" t="s">
        <v>23</v>
      </c>
      <c r="H10" s="8" t="s">
        <v>23</v>
      </c>
    </row>
    <row r="11" ht="62" customHeight="1" spans="1:8" s="3" customFormat="1" x14ac:dyDescent="0.25">
      <c r="A11" s="10" t="s">
        <v>58</v>
      </c>
      <c r="B11" s="10" t="s">
        <v>59</v>
      </c>
      <c r="C11" s="11" t="s">
        <v>60</v>
      </c>
      <c r="D11" s="11" t="s">
        <v>61</v>
      </c>
      <c r="E11" s="11" t="s">
        <v>62</v>
      </c>
      <c r="F11" s="12" t="s">
        <v>23</v>
      </c>
      <c r="G11" s="11" t="s">
        <v>23</v>
      </c>
      <c r="H11" s="11" t="s">
        <v>23</v>
      </c>
    </row>
    <row r="12" ht="62" customHeight="1" spans="1:8" s="3" customFormat="1" x14ac:dyDescent="0.25">
      <c r="A12" s="10" t="s">
        <v>58</v>
      </c>
      <c r="B12" s="10" t="s">
        <v>63</v>
      </c>
      <c r="C12" s="11" t="s">
        <v>64</v>
      </c>
      <c r="D12" s="11" t="s">
        <v>65</v>
      </c>
      <c r="E12" s="11" t="s">
        <v>66</v>
      </c>
      <c r="F12" s="12" t="s">
        <v>23</v>
      </c>
      <c r="G12" s="11" t="s">
        <v>23</v>
      </c>
      <c r="H12" s="11" t="s">
        <v>23</v>
      </c>
    </row>
    <row r="13" ht="62" customHeight="1" spans="1:8" s="3" customFormat="1" x14ac:dyDescent="0.25">
      <c r="A13" s="10" t="s">
        <v>58</v>
      </c>
      <c r="B13" s="10" t="s">
        <v>67</v>
      </c>
      <c r="C13" s="11" t="s">
        <v>68</v>
      </c>
      <c r="D13" s="11" t="s">
        <v>69</v>
      </c>
      <c r="E13" s="11" t="s">
        <v>70</v>
      </c>
      <c r="F13" s="12" t="s">
        <v>23</v>
      </c>
      <c r="G13" s="11" t="s">
        <v>23</v>
      </c>
      <c r="H13" s="11" t="s">
        <v>23</v>
      </c>
    </row>
    <row r="14" ht="62" customHeight="1" spans="1:8" s="3" customFormat="1" x14ac:dyDescent="0.25">
      <c r="A14" s="7" t="s">
        <v>71</v>
      </c>
      <c r="B14" s="7" t="s">
        <v>72</v>
      </c>
      <c r="C14" s="8" t="s">
        <v>73</v>
      </c>
      <c r="D14" s="8" t="s">
        <v>74</v>
      </c>
      <c r="E14" s="8" t="s">
        <v>75</v>
      </c>
      <c r="F14" s="9" t="s">
        <v>23</v>
      </c>
      <c r="G14" s="8" t="s">
        <v>23</v>
      </c>
      <c r="H14" s="8" t="s">
        <v>23</v>
      </c>
    </row>
    <row r="15" ht="62" customHeight="1" spans="1:8" s="3" customFormat="1" x14ac:dyDescent="0.25">
      <c r="A15" s="7" t="s">
        <v>71</v>
      </c>
      <c r="B15" s="7" t="s">
        <v>76</v>
      </c>
      <c r="C15" s="8" t="s">
        <v>77</v>
      </c>
      <c r="D15" s="8" t="s">
        <v>78</v>
      </c>
      <c r="E15" s="8" t="s">
        <v>79</v>
      </c>
      <c r="F15" s="9" t="s">
        <v>23</v>
      </c>
      <c r="G15" s="8" t="s">
        <v>23</v>
      </c>
      <c r="H15" s="8" t="s">
        <v>23</v>
      </c>
    </row>
    <row r="16" ht="62" customHeight="1" spans="1:8" s="3" customFormat="1" x14ac:dyDescent="0.25">
      <c r="A16" s="7" t="s">
        <v>71</v>
      </c>
      <c r="B16" s="7" t="s">
        <v>80</v>
      </c>
      <c r="C16" s="8" t="s">
        <v>81</v>
      </c>
      <c r="D16" s="8" t="s">
        <v>82</v>
      </c>
      <c r="E16" s="8" t="s">
        <v>83</v>
      </c>
      <c r="F16" s="9" t="s">
        <v>23</v>
      </c>
      <c r="G16" s="8" t="s">
        <v>23</v>
      </c>
      <c r="H16" s="8" t="s">
        <v>23</v>
      </c>
    </row>
    <row r="17" ht="62" customHeight="1" spans="1:8" s="3" customFormat="1" x14ac:dyDescent="0.25">
      <c r="A17" s="10" t="s">
        <v>84</v>
      </c>
      <c r="B17" s="10" t="s">
        <v>85</v>
      </c>
      <c r="C17" s="11" t="s">
        <v>86</v>
      </c>
      <c r="D17" s="11" t="s">
        <v>87</v>
      </c>
      <c r="E17" s="11" t="s">
        <v>88</v>
      </c>
      <c r="F17" s="12" t="s">
        <v>23</v>
      </c>
      <c r="G17" s="11" t="s">
        <v>23</v>
      </c>
      <c r="H17" s="11" t="s">
        <v>23</v>
      </c>
    </row>
    <row r="18" ht="62" customHeight="1" spans="1:8" s="3" customFormat="1" x14ac:dyDescent="0.25">
      <c r="A18" s="10" t="s">
        <v>84</v>
      </c>
      <c r="B18" s="10" t="s">
        <v>89</v>
      </c>
      <c r="C18" s="11" t="s">
        <v>90</v>
      </c>
      <c r="D18" s="11" t="s">
        <v>91</v>
      </c>
      <c r="E18" s="11" t="s">
        <v>92</v>
      </c>
      <c r="F18" s="12" t="s">
        <v>23</v>
      </c>
      <c r="G18" s="11" t="s">
        <v>23</v>
      </c>
      <c r="H18" s="11" t="s">
        <v>23</v>
      </c>
    </row>
    <row r="19" ht="62" customHeight="1" spans="1:8" s="3" customFormat="1" x14ac:dyDescent="0.25">
      <c r="A19" s="10" t="s">
        <v>84</v>
      </c>
      <c r="B19" s="10" t="s">
        <v>93</v>
      </c>
      <c r="C19" s="11" t="s">
        <v>94</v>
      </c>
      <c r="D19" s="11" t="s">
        <v>95</v>
      </c>
      <c r="E19" s="11" t="s">
        <v>96</v>
      </c>
      <c r="F19" s="12" t="s">
        <v>23</v>
      </c>
      <c r="G19" s="11" t="s">
        <v>23</v>
      </c>
      <c r="H19" s="11" t="s">
        <v>23</v>
      </c>
    </row>
  </sheetData>
  <autoFilter ref="A1:H19"/>
  <conditionalFormatting sqref="F2:F19">
    <cfRule type="cellIs" dxfId="0" priority="1" operator="equal">
      <formula>"Sí"</formula>
    </cfRule>
    <cfRule type="cellIs" dxfId="1" priority="2" operator="equal">
      <formula>"Parcial"</formula>
    </cfRule>
    <cfRule type="cellIs" dxfId="2" priority="3" operator="equal">
      <formula>"No"</formula>
    </cfRule>
  </conditionalFormatting>
  <dataValidations count="2">
    <dataValidation type="list" allowBlank="1" showErrorMessage="1" errorTitle="Elegí una opción" error="Usá Sí, Parcial o No." sqref="F10:F19">
      <formula1>"Sí,Parcial,No"</formula1>
    </dataValidation>
    <dataValidation type="list" allowBlank="1" showErrorMessage="1" errorTitle="Elegí una opción" error="Usá Sí, Parcial o No." sqref="F2:F19">
      <formula1>"Sí,Parcial,No"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6" customWidth="1"/>
    <col min="2" max="2" width="8" customWidth="1"/>
    <col min="3" max="3" width="10" customWidth="1"/>
    <col min="4" max="4" width="8" customWidth="1"/>
    <col min="5" max="5" width="16" customWidth="1"/>
  </cols>
  <sheetData>
    <row r="1" ht="28" customHeight="1" spans="1:5" x14ac:dyDescent="0.25">
      <c r="A1" s="6" t="s">
        <v>10</v>
      </c>
      <c r="B1" s="6" t="s">
        <v>97</v>
      </c>
      <c r="C1" s="6" t="s">
        <v>98</v>
      </c>
      <c r="D1" s="6" t="s">
        <v>99</v>
      </c>
      <c r="E1" s="6" t="s">
        <v>100</v>
      </c>
    </row>
    <row r="2" spans="1:5" x14ac:dyDescent="0.25">
      <c r="A2" t="s">
        <v>18</v>
      </c>
      <c r="B2">
        <f>COUNTIFS(Mapa!$A$2:$A$19,A2,Mapa!$F$2:$F$19,"Sí")</f>
      </c>
      <c r="C2">
        <f>COUNTIFS(Mapa!$A$2:$A$19,A2,Mapa!$F$2:$F$19,"Parcial")</f>
      </c>
      <c r="D2">
        <f>COUNTIFS(Mapa!$A$2:$A$19,A2,Mapa!$F$2:$F$19,"No")</f>
      </c>
      <c r="E2">
        <f>COUNTIFS(Mapa!$A$2:$A$19,A2,Mapa!$F$2:$F$19,"")</f>
      </c>
    </row>
    <row r="3" spans="1:5" x14ac:dyDescent="0.25">
      <c r="A3" t="s">
        <v>32</v>
      </c>
      <c r="B3">
        <f>COUNTIFS(Mapa!$A$2:$A$19,A3,Mapa!$F$2:$F$19,"Sí")</f>
      </c>
      <c r="C3">
        <f>COUNTIFS(Mapa!$A$2:$A$19,A3,Mapa!$F$2:$F$19,"Parcial")</f>
      </c>
      <c r="D3">
        <f>COUNTIFS(Mapa!$A$2:$A$19,A3,Mapa!$F$2:$F$19,"No")</f>
      </c>
      <c r="E3">
        <f>COUNTIFS(Mapa!$A$2:$A$19,A3,Mapa!$F$2:$F$19,"")</f>
      </c>
    </row>
    <row r="4" spans="1:5" x14ac:dyDescent="0.25">
      <c r="A4" t="s">
        <v>45</v>
      </c>
      <c r="B4">
        <f>COUNTIFS(Mapa!$A$2:$A$19,A4,Mapa!$F$2:$F$19,"Sí")</f>
      </c>
      <c r="C4">
        <f>COUNTIFS(Mapa!$A$2:$A$19,A4,Mapa!$F$2:$F$19,"Parcial")</f>
      </c>
      <c r="D4">
        <f>COUNTIFS(Mapa!$A$2:$A$19,A4,Mapa!$F$2:$F$19,"No")</f>
      </c>
      <c r="E4">
        <f>COUNTIFS(Mapa!$A$2:$A$19,A4,Mapa!$F$2:$F$19,"")</f>
      </c>
    </row>
    <row r="5" spans="1:5" x14ac:dyDescent="0.25">
      <c r="A5" t="s">
        <v>58</v>
      </c>
      <c r="B5">
        <f>COUNTIFS(Mapa!$A$2:$A$19,A5,Mapa!$F$2:$F$19,"Sí")</f>
      </c>
      <c r="C5">
        <f>COUNTIFS(Mapa!$A$2:$A$19,A5,Mapa!$F$2:$F$19,"Parcial")</f>
      </c>
      <c r="D5">
        <f>COUNTIFS(Mapa!$A$2:$A$19,A5,Mapa!$F$2:$F$19,"No")</f>
      </c>
      <c r="E5">
        <f>COUNTIFS(Mapa!$A$2:$A$19,A5,Mapa!$F$2:$F$19,"")</f>
      </c>
    </row>
    <row r="6" spans="1:5" x14ac:dyDescent="0.25">
      <c r="A6" t="s">
        <v>71</v>
      </c>
      <c r="B6">
        <f>COUNTIFS(Mapa!$A$2:$A$19,A6,Mapa!$F$2:$F$19,"Sí")</f>
      </c>
      <c r="C6">
        <f>COUNTIFS(Mapa!$A$2:$A$19,A6,Mapa!$F$2:$F$19,"Parcial")</f>
      </c>
      <c r="D6">
        <f>COUNTIFS(Mapa!$A$2:$A$19,A6,Mapa!$F$2:$F$19,"No")</f>
      </c>
      <c r="E6">
        <f>COUNTIFS(Mapa!$A$2:$A$19,A6,Mapa!$F$2:$F$19,"")</f>
      </c>
    </row>
    <row r="7" spans="1:5" x14ac:dyDescent="0.25">
      <c r="A7" t="s">
        <v>84</v>
      </c>
      <c r="B7">
        <f>COUNTIFS(Mapa!$A$2:$A$19,A7,Mapa!$F$2:$F$19,"Sí")</f>
      </c>
      <c r="C7">
        <f>COUNTIFS(Mapa!$A$2:$A$19,A7,Mapa!$F$2:$F$19,"Parcial")</f>
      </c>
      <c r="D7">
        <f>COUNTIFS(Mapa!$A$2:$A$19,A7,Mapa!$F$2:$F$19,"No")</f>
      </c>
      <c r="E7">
        <f>COUNTIFS(Mapa!$A$2:$A$19,A7,Mapa!$F$2:$F$19,"")</f>
      </c>
    </row>
    <row r="10" spans="1:1" x14ac:dyDescent="0.25">
      <c r="A10" s="13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Cómo usarla</vt:lpstr>
      <vt:lpstr>Mapa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Granados</dc:creator>
  <dc:title/>
  <dc:subject/>
  <dc:description/>
  <cp:keywords/>
  <cp:category/>
  <cp:lastModifiedBy>Unknown</cp:lastModifiedBy>
  <dcterms:created xsi:type="dcterms:W3CDTF">2026-10-08T12:41:14Z</dcterms:created>
  <dcterms:modified xsi:type="dcterms:W3CDTF">2026-10-08T12:41:14Z</dcterms:modified>
</cp:coreProperties>
</file>